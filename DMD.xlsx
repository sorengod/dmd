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tables/table1.xml" ContentType="application/vnd.openxmlformats-officedocument.spreadsheetml.table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231"/>
  <workbookPr defaultThemeVersion="202300"/>
  <mc:AlternateContent xmlns:mc="http://schemas.openxmlformats.org/markup-compatibility/2006">
    <mc:Choice Requires="x15">
      <x15ac:absPath xmlns:x15ac="http://schemas.microsoft.com/office/spreadsheetml/2010/11/ac" url="C:\Users\sgn\Desktop\"/>
    </mc:Choice>
  </mc:AlternateContent>
  <xr:revisionPtr revIDLastSave="0" documentId="13_ncr:1_{9632117E-CD5C-4F1D-BF62-BB8A9CBAA737}" xr6:coauthVersionLast="47" xr6:coauthVersionMax="47" xr10:uidLastSave="{00000000-0000-0000-0000-000000000000}"/>
  <bookViews>
    <workbookView xWindow="-110" yWindow="-110" windowWidth="19420" windowHeight="11500" xr2:uid="{0C4C1AF0-D374-425B-9D5C-72421FDF8C25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J56" i="1" l="1"/>
  <c r="J10" i="1"/>
  <c r="J4" i="1"/>
  <c r="J3" i="1"/>
  <c r="J46" i="1"/>
  <c r="J19" i="1"/>
  <c r="J7" i="1"/>
  <c r="J38" i="1"/>
  <c r="J23" i="1"/>
  <c r="J14" i="1"/>
  <c r="J55" i="1"/>
  <c r="J35" i="1"/>
  <c r="J37" i="1"/>
  <c r="J52" i="1"/>
  <c r="J27" i="1"/>
  <c r="J45" i="1"/>
  <c r="J50" i="1"/>
  <c r="J58" i="1"/>
  <c r="J13" i="1"/>
  <c r="J12" i="1"/>
  <c r="J40" i="1"/>
  <c r="J29" i="1"/>
  <c r="J34" i="1"/>
  <c r="J26" i="1"/>
  <c r="J22" i="1"/>
  <c r="J25" i="1"/>
  <c r="J32" i="1"/>
  <c r="J24" i="1"/>
  <c r="J51" i="1"/>
  <c r="J31" i="1"/>
  <c r="J62" i="1"/>
  <c r="J54" i="1"/>
  <c r="J60" i="1"/>
  <c r="J20" i="1"/>
  <c r="J53" i="1"/>
  <c r="J30" i="1"/>
  <c r="J21" i="1"/>
  <c r="J47" i="1"/>
  <c r="J11" i="1"/>
  <c r="J15" i="1"/>
  <c r="J39" i="1"/>
  <c r="J41" i="1"/>
  <c r="J16" i="1"/>
  <c r="J17" i="1"/>
  <c r="J42" i="1"/>
  <c r="J59" i="1"/>
  <c r="J8" i="1"/>
  <c r="J43" i="1"/>
  <c r="J28" i="1"/>
  <c r="J5" i="1"/>
  <c r="J61" i="1"/>
  <c r="J48" i="1"/>
  <c r="J36" i="1"/>
  <c r="J44" i="1"/>
  <c r="J49" i="1"/>
  <c r="J9" i="1"/>
  <c r="J57" i="1"/>
  <c r="J6" i="1"/>
  <c r="J33" i="1"/>
  <c r="J18" i="1"/>
  <c r="J2" i="1"/>
</calcChain>
</file>

<file path=xl/sharedStrings.xml><?xml version="1.0" encoding="utf-8"?>
<sst xmlns="http://schemas.openxmlformats.org/spreadsheetml/2006/main" count="222" uniqueCount="146">
  <si>
    <t>Bryghus</t>
  </si>
  <si>
    <t>Navn</t>
  </si>
  <si>
    <t>Type</t>
  </si>
  <si>
    <t>Flavour (0-10)</t>
  </si>
  <si>
    <t>Funk (0-5)</t>
  </si>
  <si>
    <t>Design (0-5)</t>
  </si>
  <si>
    <t>Value4Coin (0-10)</t>
  </si>
  <si>
    <t>Crossline Brewing</t>
  </si>
  <si>
    <t>Tzatziki sour ale</t>
  </si>
  <si>
    <t>Sour</t>
  </si>
  <si>
    <t>Worth (0-10)</t>
  </si>
  <si>
    <t>Coolhead</t>
  </si>
  <si>
    <t>Salmiac Liqourice cherry sour</t>
  </si>
  <si>
    <t xml:space="preserve">Mad Scientist </t>
  </si>
  <si>
    <t xml:space="preserve">I'm selling bananas </t>
  </si>
  <si>
    <t>Date</t>
  </si>
  <si>
    <t>Note</t>
  </si>
  <si>
    <t>TOTDY</t>
  </si>
  <si>
    <t>Vampire Crush</t>
  </si>
  <si>
    <t>To Øl</t>
  </si>
  <si>
    <t xml:space="preserve">Ready, Set, Sour </t>
  </si>
  <si>
    <t>The Goose is Loose</t>
  </si>
  <si>
    <t>Sudden Death Brewing</t>
  </si>
  <si>
    <t>Turkey Dressing</t>
  </si>
  <si>
    <t>Vault City</t>
  </si>
  <si>
    <t>Sloudy Lemonade</t>
  </si>
  <si>
    <t>Triple Fruited Mango</t>
  </si>
  <si>
    <t>Jacobsen Bryggeri</t>
  </si>
  <si>
    <t>Brown Ale</t>
  </si>
  <si>
    <t>Newcastle Brown Ale</t>
  </si>
  <si>
    <t>Sweden Trip</t>
  </si>
  <si>
    <t>Svaneke</t>
  </si>
  <si>
    <t>Brokilde Brown</t>
  </si>
  <si>
    <t>Ørbæk</t>
  </si>
  <si>
    <t>Gæst: Daniel</t>
  </si>
  <si>
    <t>MasVino m. Daniel</t>
  </si>
  <si>
    <t>Basqueland</t>
  </si>
  <si>
    <t>Winter Solsticce</t>
  </si>
  <si>
    <t>Aspach &amp; Hobday</t>
  </si>
  <si>
    <t>The Smoked Brown</t>
  </si>
  <si>
    <t>The Piggy Brewing Company</t>
  </si>
  <si>
    <t>Brown Fox</t>
  </si>
  <si>
    <t>Slowburn Breing</t>
  </si>
  <si>
    <t>Vridløse Brown</t>
  </si>
  <si>
    <t>Samuel Smiths</t>
  </si>
  <si>
    <t>Nut Brown Ale</t>
  </si>
  <si>
    <t>Lambic</t>
  </si>
  <si>
    <t>Lindemans</t>
  </si>
  <si>
    <t>Geuze Lambic</t>
  </si>
  <si>
    <t>Cantillon</t>
  </si>
  <si>
    <t>Kriek 100% Lambic Bio</t>
  </si>
  <si>
    <t>Cuvee Rene Oude Kriek 2022</t>
  </si>
  <si>
    <t>Rodenbach</t>
  </si>
  <si>
    <t>Grand Cru - The Belgian Sour Beer</t>
  </si>
  <si>
    <t>Gueuze</t>
  </si>
  <si>
    <t xml:space="preserve">Boon Brouwerij Lembeek </t>
  </si>
  <si>
    <t>Mariage Parfait</t>
  </si>
  <si>
    <t>Til bryllup I Oslo</t>
  </si>
  <si>
    <t>Klokks</t>
  </si>
  <si>
    <t xml:space="preserve">Hoppy Lager </t>
  </si>
  <si>
    <t>Lager</t>
  </si>
  <si>
    <t>Hansa</t>
  </si>
  <si>
    <t>IPA</t>
  </si>
  <si>
    <t>Nøgne Ø</t>
  </si>
  <si>
    <t>Global Pale Ale</t>
  </si>
  <si>
    <t>Pale Ale</t>
  </si>
  <si>
    <t>Gueuzerie Tilquin</t>
  </si>
  <si>
    <t xml:space="preserve">Oude Quetsche Tilquin </t>
  </si>
  <si>
    <t>Rose de Gambrinus</t>
  </si>
  <si>
    <t>Cuvee Rene Oude Gueuze 2023</t>
  </si>
  <si>
    <t>Total</t>
  </si>
  <si>
    <t>Faro</t>
  </si>
  <si>
    <t>Gæst: Gry</t>
  </si>
  <si>
    <t>Thisted Bryghus</t>
  </si>
  <si>
    <t>Cold Hawaii - Rav</t>
  </si>
  <si>
    <t>Amber Ale</t>
  </si>
  <si>
    <t>HANDSTAND</t>
  </si>
  <si>
    <t>Was it a car or a cat I saw</t>
  </si>
  <si>
    <t>Pastry Sour</t>
  </si>
  <si>
    <t>Burning Sky</t>
  </si>
  <si>
    <t>Saison Automne</t>
  </si>
  <si>
    <t>Saison</t>
  </si>
  <si>
    <t>Brouwerij St. Bernardus</t>
  </si>
  <si>
    <t>Abt 12</t>
  </si>
  <si>
    <t>Quadrupel</t>
  </si>
  <si>
    <t>Moersleutel</t>
  </si>
  <si>
    <t>Firestarter</t>
  </si>
  <si>
    <t>Basque Cheesecake Stout</t>
  </si>
  <si>
    <t>Brasserie du Bocq</t>
  </si>
  <si>
    <t>Blanche de Namur</t>
  </si>
  <si>
    <t>Witbier</t>
  </si>
  <si>
    <t>Slowburn</t>
  </si>
  <si>
    <t>White Bloom</t>
  </si>
  <si>
    <t>Mad Scientist</t>
  </si>
  <si>
    <t>Monkey Temple</t>
  </si>
  <si>
    <t>Mad Scientist vs. Erling</t>
  </si>
  <si>
    <t>Szilvas Gumboc</t>
  </si>
  <si>
    <t xml:space="preserve">Imperial Pastry Sour </t>
  </si>
  <si>
    <t>Lupolette Pils</t>
  </si>
  <si>
    <t>Pilsner</t>
  </si>
  <si>
    <t>Sibeeria Brewery &amp; Les Intenables</t>
  </si>
  <si>
    <t>Kill The Saaz</t>
  </si>
  <si>
    <t>Funky Fluid</t>
  </si>
  <si>
    <t>Hallertauer Pils</t>
  </si>
  <si>
    <t>Grathe Hede</t>
  </si>
  <si>
    <t>Easter Bock</t>
  </si>
  <si>
    <t>Bock</t>
  </si>
  <si>
    <t>Through the Eye of Mortals</t>
  </si>
  <si>
    <t xml:space="preserve">Wild Ale </t>
  </si>
  <si>
    <t>Abbaye Notre-Dame de Saint-Rémy</t>
  </si>
  <si>
    <t>Rochefort 10</t>
  </si>
  <si>
    <t>Trappist</t>
  </si>
  <si>
    <t>Tropical sPace Muffin</t>
  </si>
  <si>
    <t>Mjød</t>
  </si>
  <si>
    <t>Double Svart + tonic</t>
  </si>
  <si>
    <t>Strawberry PBJ Time</t>
  </si>
  <si>
    <t>Cölner Hofbräu</t>
  </si>
  <si>
    <t>Früh</t>
  </si>
  <si>
    <t>Kölsch</t>
  </si>
  <si>
    <t xml:space="preserve">Funky Fluid </t>
  </si>
  <si>
    <t>Gelato Azzuro</t>
  </si>
  <si>
    <t>Ice Cream Sour</t>
  </si>
  <si>
    <t>Brooklyn Brewery</t>
  </si>
  <si>
    <t>Pulp Art</t>
  </si>
  <si>
    <t>Hazy IPA</t>
  </si>
  <si>
    <t>Missing Link Brewing</t>
  </si>
  <si>
    <t>Pygmy Monkey</t>
  </si>
  <si>
    <t>NEPA</t>
  </si>
  <si>
    <t xml:space="preserve">Missing Link Brewing </t>
  </si>
  <si>
    <t>Bonobo</t>
  </si>
  <si>
    <t xml:space="preserve">Gravity Well </t>
  </si>
  <si>
    <t>Phantom Energy</t>
  </si>
  <si>
    <t>Ugly Duck Brewing</t>
  </si>
  <si>
    <t>Working Man's Lunch</t>
  </si>
  <si>
    <t xml:space="preserve">Baltic Brown Porter </t>
  </si>
  <si>
    <t>Kasteel</t>
  </si>
  <si>
    <t>Cuvée de Château</t>
  </si>
  <si>
    <t>Belgian Ale</t>
  </si>
  <si>
    <t>Holy Goat Beer</t>
  </si>
  <si>
    <t>Rogue Planet</t>
  </si>
  <si>
    <t>Coffee Stout</t>
  </si>
  <si>
    <t>Goatsmoker</t>
  </si>
  <si>
    <t>Imperial Stout</t>
  </si>
  <si>
    <t>Buxton Brewery</t>
  </si>
  <si>
    <t>Blueberry and maple buttermilk pancake stack</t>
  </si>
  <si>
    <t>Pastry Stout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</si>
</sst>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Aptos Narrow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1">
    <dxf>
      <numFmt numFmtId="0" formatCode="General"/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" xr:uid="{F898B751-3DAD-4E28-BD02-88719B92B8E5}" name="Table1" displayName="Table1" ref="A1:K62" totalsRowShown="0">
  <autoFilter ref="A1:K62" xr:uid="{F898B751-3DAD-4E28-BD02-88719B92B8E5}"/>
  <sortState xmlns:xlrd2="http://schemas.microsoft.com/office/spreadsheetml/2017/richdata2" ref="A2:K62">
    <sortCondition descending="1" ref="J1:J62"/>
  </sortState>
  <tableColumns count="11">
    <tableColumn id="1" xr3:uid="{D749C220-6EA4-47DA-882C-8557B1037323}" name="Bryghus"/>
    <tableColumn id="10" xr3:uid="{DC67C34B-20F1-42D5-A5C3-51FFB2BC7E2E}" name="Date"/>
    <tableColumn id="2" xr3:uid="{F06DFFBF-852D-41C7-9210-4AB696A5568D}" name="Navn"/>
    <tableColumn id="3" xr3:uid="{E9308ECA-D3FB-4400-9057-B3F632091414}" name="Type"/>
    <tableColumn id="4" xr3:uid="{CE926D02-6347-4ADD-B44C-996C21112A2D}" name="Flavour (0-10)"/>
    <tableColumn id="5" xr3:uid="{86088EF4-066F-483A-AC61-723EC0AD5075}" name="Funk (0-5)"/>
    <tableColumn id="6" xr3:uid="{B90B9DEA-2C59-4524-AE76-6472435A72F0}" name="Design (0-5)"/>
    <tableColumn id="7" xr3:uid="{A814998D-F046-438F-AEF7-91A7DB09BF6E}" name="Value4Coin (0-10)"/>
    <tableColumn id="9" xr3:uid="{252200F6-A42E-49C2-BCD9-03293CA20613}" name="Worth (0-10)"/>
    <tableColumn id="8" xr3:uid="{82E4E9FA-0DE9-426F-8850-C6B5C3EC3B56}" name="Total" dataDxfId="0">
      <calculatedColumnFormula>SUM(Table1[[#This Row],[Flavour (0-10)]:[Worth (0-10)]])</calculatedColumnFormula>
    </tableColumn>
    <tableColumn id="11" xr3:uid="{E2E7A0E1-2963-49E8-86AD-A226773C567F}" name="Note"/>
  </tableColumns>
  <tableStyleInfo name="TableStyleMedium2"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table" Target="../tables/table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1C827F9-B510-491A-8441-4209C1A1B048}">
  <dimension ref="A1:K62"/>
  <sheetViews>
    <sheetView tabSelected="1" zoomScale="70" zoomScaleNormal="70" workbookViewId="0">
      <selection activeCell="C14" sqref="C14"/>
    </sheetView>
  </sheetViews>
  <sheetFormatPr defaultRowHeight="14.5" x14ac:dyDescent="0.35"/>
  <cols>
    <col min="1" max="1" width="19" bestFit="1" customWidth="1"/>
    <col min="2" max="2" width="15.81640625" customWidth="1"/>
    <col min="3" max="3" width="25" bestFit="1" customWidth="1"/>
    <col min="5" max="5" width="14.26953125" customWidth="1"/>
    <col min="6" max="6" width="11.26953125" customWidth="1"/>
    <col min="7" max="7" width="12.81640625" customWidth="1"/>
    <col min="8" max="8" width="17.7265625" customWidth="1"/>
    <col min="9" max="9" width="14.26953125" bestFit="1" customWidth="1"/>
    <col min="10" max="10" width="14.26953125" customWidth="1"/>
    <col min="11" max="11" width="21.6328125" customWidth="1"/>
  </cols>
  <sheetData>
    <row r="1" spans="1:11" x14ac:dyDescent="0.35">
      <c r="A1" t="s">
        <v>0</v>
      </c>
      <c r="B1" t="s">
        <v>15</v>
      </c>
      <c r="C1" t="s">
        <v>1</v>
      </c>
      <c r="D1" t="s">
        <v>2</v>
      </c>
      <c r="E1" t="s">
        <v>3</v>
      </c>
      <c r="F1" t="s">
        <v>4</v>
      </c>
      <c r="G1" t="s">
        <v>5</v>
      </c>
      <c r="H1" t="s">
        <v>6</v>
      </c>
      <c r="I1" t="s">
        <v>10</v>
      </c>
      <c r="J1" t="s">
        <v>70</v>
      </c>
      <c r="K1" t="s">
        <v>16</v>
      </c>
    </row>
    <row r="2" spans="1:11" x14ac:dyDescent="0.35">
      <c r="A2" t="s">
        <v>47</v>
      </c>
      <c r="B2">
        <v>20251015</v>
      </c>
      <c r="C2" t="s">
        <v>69</v>
      </c>
      <c r="D2" t="s">
        <v>46</v>
      </c>
      <c r="E2">
        <v>8</v>
      </c>
      <c r="F2">
        <v>3.5</v>
      </c>
      <c r="G2">
        <v>4</v>
      </c>
      <c r="H2">
        <v>8.5</v>
      </c>
      <c r="I2">
        <v>8.5</v>
      </c>
      <c r="J2">
        <f>SUM(Table1[[#This Row],[Flavour (0-10)]:[Worth (0-10)]])</f>
        <v>32.5</v>
      </c>
    </row>
    <row r="3" spans="1:11" x14ac:dyDescent="0.35">
      <c r="A3" t="s">
        <v>135</v>
      </c>
      <c r="B3">
        <v>20240925</v>
      </c>
      <c r="C3" t="s">
        <v>136</v>
      </c>
      <c r="D3" t="s">
        <v>137</v>
      </c>
      <c r="E3">
        <v>8</v>
      </c>
      <c r="F3">
        <v>3.5</v>
      </c>
      <c r="G3">
        <v>3.5</v>
      </c>
      <c r="H3">
        <v>8.5</v>
      </c>
      <c r="I3">
        <v>8</v>
      </c>
      <c r="J3">
        <f>SUM(Table1[[#This Row],[Flavour (0-10)]:[Worth (0-10)]])</f>
        <v>31.5</v>
      </c>
    </row>
    <row r="4" spans="1:11" x14ac:dyDescent="0.35">
      <c r="A4" t="s">
        <v>138</v>
      </c>
      <c r="B4">
        <v>20241102</v>
      </c>
      <c r="C4" t="s">
        <v>139</v>
      </c>
      <c r="D4" t="s">
        <v>140</v>
      </c>
      <c r="E4">
        <v>8</v>
      </c>
      <c r="F4">
        <v>3.5</v>
      </c>
      <c r="G4">
        <v>4.5</v>
      </c>
      <c r="H4">
        <v>7.5</v>
      </c>
      <c r="I4">
        <v>8</v>
      </c>
      <c r="J4">
        <f>SUM(Table1[[#This Row],[Flavour (0-10)]:[Worth (0-10)]])</f>
        <v>31.5</v>
      </c>
    </row>
    <row r="5" spans="1:11" x14ac:dyDescent="0.35">
      <c r="A5" t="s">
        <v>47</v>
      </c>
      <c r="B5">
        <v>20250825</v>
      </c>
      <c r="C5" t="s">
        <v>48</v>
      </c>
      <c r="D5" t="s">
        <v>46</v>
      </c>
      <c r="E5">
        <v>9</v>
      </c>
      <c r="F5">
        <v>4</v>
      </c>
      <c r="G5">
        <v>2.5</v>
      </c>
      <c r="H5">
        <v>8</v>
      </c>
      <c r="I5">
        <v>8</v>
      </c>
      <c r="J5">
        <f>SUM(Table1[[#This Row],[Flavour (0-10)]:[Worth (0-10)]])</f>
        <v>31.5</v>
      </c>
    </row>
    <row r="6" spans="1:11" x14ac:dyDescent="0.35">
      <c r="A6" t="s">
        <v>63</v>
      </c>
      <c r="B6">
        <v>20250927</v>
      </c>
      <c r="C6" t="s">
        <v>64</v>
      </c>
      <c r="D6" t="s">
        <v>65</v>
      </c>
      <c r="E6">
        <v>8</v>
      </c>
      <c r="F6">
        <v>3.5</v>
      </c>
      <c r="G6">
        <v>3.5</v>
      </c>
      <c r="H6">
        <v>8</v>
      </c>
      <c r="I6">
        <v>8.5</v>
      </c>
      <c r="J6">
        <f>SUM(Table1[[#This Row],[Flavour (0-10)]:[Worth (0-10)]])</f>
        <v>31.5</v>
      </c>
      <c r="K6" t="s">
        <v>57</v>
      </c>
    </row>
    <row r="7" spans="1:11" x14ac:dyDescent="0.35">
      <c r="A7" t="s">
        <v>128</v>
      </c>
      <c r="B7">
        <v>20240731</v>
      </c>
      <c r="C7" t="s">
        <v>129</v>
      </c>
      <c r="D7" t="s">
        <v>127</v>
      </c>
      <c r="E7">
        <v>8</v>
      </c>
      <c r="F7">
        <v>3.5</v>
      </c>
      <c r="G7">
        <v>4.5</v>
      </c>
      <c r="H7">
        <v>7.5</v>
      </c>
      <c r="I7">
        <v>7.5</v>
      </c>
      <c r="J7">
        <f>SUM(Table1[[#This Row],[Flavour (0-10)]:[Worth (0-10)]])</f>
        <v>31</v>
      </c>
    </row>
    <row r="8" spans="1:11" x14ac:dyDescent="0.35">
      <c r="A8" t="s">
        <v>40</v>
      </c>
      <c r="B8">
        <v>20250725</v>
      </c>
      <c r="C8" t="s">
        <v>41</v>
      </c>
      <c r="D8" t="s">
        <v>28</v>
      </c>
      <c r="E8">
        <v>8</v>
      </c>
      <c r="F8">
        <v>3.5</v>
      </c>
      <c r="G8">
        <v>3.5</v>
      </c>
      <c r="H8">
        <v>8</v>
      </c>
      <c r="I8">
        <v>8</v>
      </c>
      <c r="J8">
        <f>SUM(Table1[[#This Row],[Flavour (0-10)]:[Worth (0-10)]])</f>
        <v>31</v>
      </c>
      <c r="K8" t="s">
        <v>72</v>
      </c>
    </row>
    <row r="9" spans="1:11" x14ac:dyDescent="0.35">
      <c r="A9" t="s">
        <v>58</v>
      </c>
      <c r="B9">
        <v>20250927</v>
      </c>
      <c r="C9" t="s">
        <v>59</v>
      </c>
      <c r="D9" t="s">
        <v>60</v>
      </c>
      <c r="E9">
        <v>8</v>
      </c>
      <c r="F9">
        <v>3.5</v>
      </c>
      <c r="G9">
        <v>3</v>
      </c>
      <c r="H9">
        <v>8.5</v>
      </c>
      <c r="I9">
        <v>8</v>
      </c>
      <c r="J9">
        <f>SUM(Table1[[#This Row],[Flavour (0-10)]:[Worth (0-10)]])</f>
        <v>31</v>
      </c>
      <c r="K9" t="s">
        <v>57</v>
      </c>
    </row>
    <row r="10" spans="1:11" x14ac:dyDescent="0.35">
      <c r="A10" t="s">
        <v>138</v>
      </c>
      <c r="B10">
        <v>20241102</v>
      </c>
      <c r="C10" t="s">
        <v>141</v>
      </c>
      <c r="D10" t="s">
        <v>142</v>
      </c>
      <c r="E10">
        <v>7.5</v>
      </c>
      <c r="F10">
        <v>4</v>
      </c>
      <c r="G10">
        <v>4.5</v>
      </c>
      <c r="H10">
        <v>7</v>
      </c>
      <c r="I10">
        <v>7.5</v>
      </c>
      <c r="J10">
        <f>SUM(Table1[[#This Row],[Flavour (0-10)]:[Worth (0-10)]])</f>
        <v>30.5</v>
      </c>
    </row>
    <row r="11" spans="1:11" x14ac:dyDescent="0.35">
      <c r="A11" t="s">
        <v>24</v>
      </c>
      <c r="B11">
        <v>20250314</v>
      </c>
      <c r="C11" t="s">
        <v>26</v>
      </c>
      <c r="D11" t="s">
        <v>9</v>
      </c>
      <c r="E11">
        <v>8</v>
      </c>
      <c r="F11">
        <v>4</v>
      </c>
      <c r="G11">
        <v>3</v>
      </c>
      <c r="H11">
        <v>8</v>
      </c>
      <c r="I11">
        <v>7.5</v>
      </c>
      <c r="J11">
        <f>SUM(Table1[[#This Row],[Flavour (0-10)]:[Worth (0-10)]])</f>
        <v>30.5</v>
      </c>
    </row>
    <row r="12" spans="1:11" x14ac:dyDescent="0.35">
      <c r="A12" t="s">
        <v>79</v>
      </c>
      <c r="B12">
        <v>20240309</v>
      </c>
      <c r="C12" t="s">
        <v>98</v>
      </c>
      <c r="D12" t="s">
        <v>99</v>
      </c>
      <c r="E12">
        <v>8</v>
      </c>
      <c r="F12">
        <v>2.5</v>
      </c>
      <c r="G12">
        <v>4.5</v>
      </c>
      <c r="H12">
        <v>7.5</v>
      </c>
      <c r="I12">
        <v>7.5</v>
      </c>
      <c r="J12">
        <f>SUM(Table1[[#This Row],[Flavour (0-10)]:[Worth (0-10)]])</f>
        <v>30</v>
      </c>
    </row>
    <row r="13" spans="1:11" x14ac:dyDescent="0.35">
      <c r="A13" t="s">
        <v>100</v>
      </c>
      <c r="B13">
        <v>20240309</v>
      </c>
      <c r="C13" t="s">
        <v>101</v>
      </c>
      <c r="D13" t="s">
        <v>99</v>
      </c>
      <c r="E13">
        <v>7.5</v>
      </c>
      <c r="F13">
        <v>3</v>
      </c>
      <c r="G13">
        <v>5</v>
      </c>
      <c r="H13">
        <v>7</v>
      </c>
      <c r="I13">
        <v>7.5</v>
      </c>
      <c r="J13">
        <f>SUM(Table1[[#This Row],[Flavour (0-10)]:[Worth (0-10)]])</f>
        <v>30</v>
      </c>
    </row>
    <row r="14" spans="1:11" x14ac:dyDescent="0.35">
      <c r="A14" t="s">
        <v>119</v>
      </c>
      <c r="B14">
        <v>20240604</v>
      </c>
      <c r="C14" t="s">
        <v>120</v>
      </c>
      <c r="D14" t="s">
        <v>121</v>
      </c>
      <c r="E14">
        <v>7.5</v>
      </c>
      <c r="F14">
        <v>4</v>
      </c>
      <c r="G14">
        <v>4</v>
      </c>
      <c r="H14">
        <v>6.5</v>
      </c>
      <c r="I14">
        <v>8</v>
      </c>
      <c r="J14">
        <f>SUM(Table1[[#This Row],[Flavour (0-10)]:[Worth (0-10)]])</f>
        <v>30</v>
      </c>
      <c r="K14" t="s">
        <v>34</v>
      </c>
    </row>
    <row r="15" spans="1:11" x14ac:dyDescent="0.35">
      <c r="A15" t="s">
        <v>27</v>
      </c>
      <c r="B15">
        <v>20250415</v>
      </c>
      <c r="C15" t="s">
        <v>28</v>
      </c>
      <c r="D15" t="s">
        <v>28</v>
      </c>
      <c r="E15">
        <v>8</v>
      </c>
      <c r="F15">
        <v>2.5</v>
      </c>
      <c r="G15">
        <v>2.5</v>
      </c>
      <c r="H15">
        <v>8.5</v>
      </c>
      <c r="I15">
        <v>8.5</v>
      </c>
      <c r="J15">
        <f>SUM(Table1[[#This Row],[Flavour (0-10)]:[Worth (0-10)]])</f>
        <v>30</v>
      </c>
      <c r="K15" t="s">
        <v>30</v>
      </c>
    </row>
    <row r="16" spans="1:11" x14ac:dyDescent="0.35">
      <c r="A16" t="s">
        <v>19</v>
      </c>
      <c r="B16">
        <v>20250415</v>
      </c>
      <c r="C16" t="s">
        <v>32</v>
      </c>
      <c r="D16" t="s">
        <v>28</v>
      </c>
      <c r="E16">
        <v>8</v>
      </c>
      <c r="F16">
        <v>3.5</v>
      </c>
      <c r="G16">
        <v>2.5</v>
      </c>
      <c r="H16">
        <v>8</v>
      </c>
      <c r="I16">
        <v>8</v>
      </c>
      <c r="J16">
        <f>SUM(Table1[[#This Row],[Flavour (0-10)]:[Worth (0-10)]])</f>
        <v>30</v>
      </c>
      <c r="K16" t="s">
        <v>30</v>
      </c>
    </row>
    <row r="17" spans="1:11" x14ac:dyDescent="0.35">
      <c r="A17" t="s">
        <v>33</v>
      </c>
      <c r="B17">
        <v>20250522</v>
      </c>
      <c r="C17" t="s">
        <v>28</v>
      </c>
      <c r="D17" t="s">
        <v>28</v>
      </c>
      <c r="E17">
        <v>8</v>
      </c>
      <c r="F17">
        <v>3</v>
      </c>
      <c r="G17">
        <v>2</v>
      </c>
      <c r="H17">
        <v>8.5</v>
      </c>
      <c r="I17">
        <v>8.5</v>
      </c>
      <c r="J17">
        <f>SUM(Table1[[#This Row],[Flavour (0-10)]:[Worth (0-10)]])</f>
        <v>30</v>
      </c>
      <c r="K17" t="s">
        <v>35</v>
      </c>
    </row>
    <row r="18" spans="1:11" x14ac:dyDescent="0.35">
      <c r="A18" t="s">
        <v>49</v>
      </c>
      <c r="B18">
        <v>20251015</v>
      </c>
      <c r="C18" t="s">
        <v>68</v>
      </c>
      <c r="D18" t="s">
        <v>46</v>
      </c>
      <c r="E18">
        <v>8</v>
      </c>
      <c r="F18">
        <v>4</v>
      </c>
      <c r="G18">
        <v>4.5</v>
      </c>
      <c r="H18">
        <v>6.5</v>
      </c>
      <c r="I18">
        <v>7</v>
      </c>
      <c r="J18">
        <f>SUM(Table1[[#This Row],[Flavour (0-10)]:[Worth (0-10)]])</f>
        <v>30</v>
      </c>
    </row>
    <row r="19" spans="1:11" x14ac:dyDescent="0.35">
      <c r="A19" t="s">
        <v>130</v>
      </c>
      <c r="B19">
        <v>20240731</v>
      </c>
      <c r="C19" t="s">
        <v>131</v>
      </c>
      <c r="D19" t="s">
        <v>127</v>
      </c>
      <c r="E19">
        <v>8</v>
      </c>
      <c r="F19">
        <v>3.5</v>
      </c>
      <c r="G19">
        <v>3</v>
      </c>
      <c r="H19">
        <v>7.5</v>
      </c>
      <c r="I19">
        <v>7.5</v>
      </c>
      <c r="J19">
        <f>SUM(Table1[[#This Row],[Flavour (0-10)]:[Worth (0-10)]])</f>
        <v>29.5</v>
      </c>
    </row>
    <row r="20" spans="1:11" x14ac:dyDescent="0.35">
      <c r="A20" t="s">
        <v>17</v>
      </c>
      <c r="B20">
        <v>20250212</v>
      </c>
      <c r="C20" t="s">
        <v>18</v>
      </c>
      <c r="D20" t="s">
        <v>9</v>
      </c>
      <c r="E20">
        <v>8</v>
      </c>
      <c r="F20">
        <v>3</v>
      </c>
      <c r="G20">
        <v>2.5</v>
      </c>
      <c r="H20">
        <v>8</v>
      </c>
      <c r="I20">
        <v>8</v>
      </c>
      <c r="J20">
        <f>SUM(Table1[[#This Row],[Flavour (0-10)]:[Worth (0-10)]])</f>
        <v>29.5</v>
      </c>
    </row>
    <row r="21" spans="1:11" x14ac:dyDescent="0.35">
      <c r="A21" t="s">
        <v>22</v>
      </c>
      <c r="B21">
        <v>20250314</v>
      </c>
      <c r="C21" t="s">
        <v>23</v>
      </c>
      <c r="D21" t="s">
        <v>9</v>
      </c>
      <c r="E21">
        <v>8</v>
      </c>
      <c r="F21">
        <v>3</v>
      </c>
      <c r="G21">
        <v>4.5</v>
      </c>
      <c r="H21">
        <v>7</v>
      </c>
      <c r="I21">
        <v>7</v>
      </c>
      <c r="J21">
        <f>SUM(Table1[[#This Row],[Flavour (0-10)]:[Worth (0-10)]])</f>
        <v>29.5</v>
      </c>
    </row>
    <row r="22" spans="1:11" x14ac:dyDescent="0.35">
      <c r="A22" t="s">
        <v>85</v>
      </c>
      <c r="B22">
        <v>20240119</v>
      </c>
      <c r="C22" t="s">
        <v>86</v>
      </c>
      <c r="D22" t="s">
        <v>87</v>
      </c>
      <c r="E22">
        <v>7.5</v>
      </c>
      <c r="F22">
        <v>4</v>
      </c>
      <c r="G22">
        <v>4</v>
      </c>
      <c r="H22">
        <v>6.5</v>
      </c>
      <c r="I22">
        <v>7</v>
      </c>
      <c r="J22">
        <f>SUM(Table1[[#This Row],[Flavour (0-10)]:[Worth (0-10)]])</f>
        <v>29</v>
      </c>
      <c r="K22" t="s">
        <v>34</v>
      </c>
    </row>
    <row r="23" spans="1:11" x14ac:dyDescent="0.35">
      <c r="A23" t="s">
        <v>122</v>
      </c>
      <c r="B23">
        <v>20240604</v>
      </c>
      <c r="C23" t="s">
        <v>123</v>
      </c>
      <c r="D23" t="s">
        <v>124</v>
      </c>
      <c r="E23">
        <v>7.5</v>
      </c>
      <c r="F23">
        <v>3</v>
      </c>
      <c r="G23">
        <v>3</v>
      </c>
      <c r="H23">
        <v>8</v>
      </c>
      <c r="I23">
        <v>7.5</v>
      </c>
      <c r="J23">
        <f>SUM(Table1[[#This Row],[Flavour (0-10)]:[Worth (0-10)]])</f>
        <v>29</v>
      </c>
      <c r="K23" t="s">
        <v>34</v>
      </c>
    </row>
    <row r="24" spans="1:11" x14ac:dyDescent="0.35">
      <c r="A24" t="s">
        <v>76</v>
      </c>
      <c r="B24">
        <v>20240119</v>
      </c>
      <c r="C24" t="s">
        <v>77</v>
      </c>
      <c r="D24" t="s">
        <v>78</v>
      </c>
      <c r="E24">
        <v>6.5</v>
      </c>
      <c r="F24">
        <v>3.5</v>
      </c>
      <c r="G24">
        <v>5</v>
      </c>
      <c r="H24">
        <v>6</v>
      </c>
      <c r="I24">
        <v>7.5</v>
      </c>
      <c r="J24">
        <f>SUM(Table1[[#This Row],[Flavour (0-10)]:[Worth (0-10)]])</f>
        <v>28.5</v>
      </c>
      <c r="K24" t="s">
        <v>34</v>
      </c>
    </row>
    <row r="25" spans="1:11" x14ac:dyDescent="0.35">
      <c r="A25" t="s">
        <v>82</v>
      </c>
      <c r="B25">
        <v>20240119</v>
      </c>
      <c r="C25" t="s">
        <v>83</v>
      </c>
      <c r="D25" t="s">
        <v>84</v>
      </c>
      <c r="E25">
        <v>8</v>
      </c>
      <c r="F25">
        <v>3</v>
      </c>
      <c r="G25">
        <v>3</v>
      </c>
      <c r="H25">
        <v>7</v>
      </c>
      <c r="I25">
        <v>7.5</v>
      </c>
      <c r="J25">
        <f>SUM(Table1[[#This Row],[Flavour (0-10)]:[Worth (0-10)]])</f>
        <v>28.5</v>
      </c>
      <c r="K25" t="s">
        <v>34</v>
      </c>
    </row>
    <row r="26" spans="1:11" x14ac:dyDescent="0.35">
      <c r="A26" t="s">
        <v>88</v>
      </c>
      <c r="B26">
        <v>20240207</v>
      </c>
      <c r="C26" t="s">
        <v>89</v>
      </c>
      <c r="D26" t="s">
        <v>90</v>
      </c>
      <c r="E26">
        <v>8</v>
      </c>
      <c r="F26">
        <v>3.5</v>
      </c>
      <c r="G26">
        <v>1.5</v>
      </c>
      <c r="H26">
        <v>7.5</v>
      </c>
      <c r="I26">
        <v>8</v>
      </c>
      <c r="J26">
        <f>SUM(Table1[[#This Row],[Flavour (0-10)]:[Worth (0-10)]])</f>
        <v>28.5</v>
      </c>
    </row>
    <row r="27" spans="1:11" x14ac:dyDescent="0.35">
      <c r="A27" t="s">
        <v>109</v>
      </c>
      <c r="B27">
        <v>20240329</v>
      </c>
      <c r="C27" t="s">
        <v>110</v>
      </c>
      <c r="D27" t="s">
        <v>111</v>
      </c>
      <c r="E27">
        <v>8</v>
      </c>
      <c r="F27">
        <v>2.5</v>
      </c>
      <c r="G27">
        <v>2</v>
      </c>
      <c r="H27">
        <v>8</v>
      </c>
      <c r="I27">
        <v>8</v>
      </c>
      <c r="J27">
        <f>SUM(Table1[[#This Row],[Flavour (0-10)]:[Worth (0-10)]])</f>
        <v>28.5</v>
      </c>
      <c r="K27" t="s">
        <v>104</v>
      </c>
    </row>
    <row r="28" spans="1:11" x14ac:dyDescent="0.35">
      <c r="A28" t="s">
        <v>44</v>
      </c>
      <c r="B28">
        <v>20250725</v>
      </c>
      <c r="C28" t="s">
        <v>45</v>
      </c>
      <c r="D28" t="s">
        <v>28</v>
      </c>
      <c r="E28">
        <v>7.5</v>
      </c>
      <c r="F28">
        <v>3.5</v>
      </c>
      <c r="G28">
        <v>3.5</v>
      </c>
      <c r="H28">
        <v>7</v>
      </c>
      <c r="I28">
        <v>7</v>
      </c>
      <c r="J28">
        <f>SUM(Table1[[#This Row],[Flavour (0-10)]:[Worth (0-10)]])</f>
        <v>28.5</v>
      </c>
      <c r="K28" t="s">
        <v>72</v>
      </c>
    </row>
    <row r="29" spans="1:11" x14ac:dyDescent="0.35">
      <c r="A29" t="s">
        <v>93</v>
      </c>
      <c r="B29">
        <v>20240207</v>
      </c>
      <c r="C29" t="s">
        <v>94</v>
      </c>
      <c r="D29" t="s">
        <v>90</v>
      </c>
      <c r="E29">
        <v>7.5</v>
      </c>
      <c r="F29">
        <v>3.5</v>
      </c>
      <c r="G29">
        <v>3</v>
      </c>
      <c r="H29">
        <v>7</v>
      </c>
      <c r="I29">
        <v>7</v>
      </c>
      <c r="J29">
        <f>SUM(Table1[[#This Row],[Flavour (0-10)]:[Worth (0-10)]])</f>
        <v>28</v>
      </c>
    </row>
    <row r="30" spans="1:11" x14ac:dyDescent="0.35">
      <c r="A30" t="s">
        <v>19</v>
      </c>
      <c r="B30">
        <v>20250212</v>
      </c>
      <c r="C30" t="s">
        <v>21</v>
      </c>
      <c r="D30" t="s">
        <v>9</v>
      </c>
      <c r="E30">
        <v>8.5</v>
      </c>
      <c r="F30">
        <v>4</v>
      </c>
      <c r="G30">
        <v>3.5</v>
      </c>
      <c r="H30">
        <v>3.5</v>
      </c>
      <c r="I30">
        <v>8.5</v>
      </c>
      <c r="J30">
        <f>SUM(Table1[[#This Row],[Flavour (0-10)]:[Worth (0-10)]])</f>
        <v>28</v>
      </c>
    </row>
    <row r="31" spans="1:11" x14ac:dyDescent="0.35">
      <c r="A31" t="s">
        <v>47</v>
      </c>
      <c r="B31">
        <v>20240119</v>
      </c>
      <c r="C31" t="s">
        <v>71</v>
      </c>
      <c r="D31" t="s">
        <v>46</v>
      </c>
      <c r="E31">
        <v>7</v>
      </c>
      <c r="F31">
        <v>3</v>
      </c>
      <c r="G31">
        <v>2.5</v>
      </c>
      <c r="H31">
        <v>7.5</v>
      </c>
      <c r="I31">
        <v>7.5</v>
      </c>
      <c r="J31">
        <f>SUM(Table1[[#This Row],[Flavour (0-10)]:[Worth (0-10)]])</f>
        <v>27.5</v>
      </c>
      <c r="K31" t="s">
        <v>34</v>
      </c>
    </row>
    <row r="32" spans="1:11" x14ac:dyDescent="0.35">
      <c r="A32" t="s">
        <v>79</v>
      </c>
      <c r="B32">
        <v>20240119</v>
      </c>
      <c r="C32" t="s">
        <v>80</v>
      </c>
      <c r="D32" t="s">
        <v>81</v>
      </c>
      <c r="E32">
        <v>7.5</v>
      </c>
      <c r="F32">
        <v>2.5</v>
      </c>
      <c r="G32">
        <v>4</v>
      </c>
      <c r="H32">
        <v>6.5</v>
      </c>
      <c r="I32">
        <v>7</v>
      </c>
      <c r="J32">
        <f>SUM(Table1[[#This Row],[Flavour (0-10)]:[Worth (0-10)]])</f>
        <v>27.5</v>
      </c>
      <c r="K32" t="s">
        <v>34</v>
      </c>
    </row>
    <row r="33" spans="1:11" x14ac:dyDescent="0.35">
      <c r="A33" t="s">
        <v>66</v>
      </c>
      <c r="B33">
        <v>20251015</v>
      </c>
      <c r="C33" t="s">
        <v>67</v>
      </c>
      <c r="D33" t="s">
        <v>46</v>
      </c>
      <c r="E33">
        <v>8</v>
      </c>
      <c r="F33">
        <v>4</v>
      </c>
      <c r="G33">
        <v>2.5</v>
      </c>
      <c r="H33">
        <v>6</v>
      </c>
      <c r="I33">
        <v>7</v>
      </c>
      <c r="J33">
        <f>SUM(Table1[[#This Row],[Flavour (0-10)]:[Worth (0-10)]])</f>
        <v>27.5</v>
      </c>
    </row>
    <row r="34" spans="1:11" x14ac:dyDescent="0.35">
      <c r="A34" t="s">
        <v>91</v>
      </c>
      <c r="B34">
        <v>20240207</v>
      </c>
      <c r="C34" t="s">
        <v>92</v>
      </c>
      <c r="D34" t="s">
        <v>90</v>
      </c>
      <c r="E34">
        <v>7.5</v>
      </c>
      <c r="F34">
        <v>2</v>
      </c>
      <c r="G34">
        <v>3</v>
      </c>
      <c r="H34">
        <v>7.5</v>
      </c>
      <c r="I34">
        <v>7</v>
      </c>
      <c r="J34">
        <f>SUM(Table1[[#This Row],[Flavour (0-10)]:[Worth (0-10)]])</f>
        <v>27</v>
      </c>
    </row>
    <row r="35" spans="1:11" x14ac:dyDescent="0.35">
      <c r="A35" t="s">
        <v>93</v>
      </c>
      <c r="B35">
        <v>20240604</v>
      </c>
      <c r="C35" t="s">
        <v>115</v>
      </c>
      <c r="D35" t="s">
        <v>113</v>
      </c>
      <c r="E35">
        <v>6.5</v>
      </c>
      <c r="F35">
        <v>5</v>
      </c>
      <c r="G35">
        <v>3.5</v>
      </c>
      <c r="H35">
        <v>4.5</v>
      </c>
      <c r="I35">
        <v>7.5</v>
      </c>
      <c r="J35">
        <f>SUM(Table1[[#This Row],[Flavour (0-10)]:[Worth (0-10)]])</f>
        <v>27</v>
      </c>
      <c r="K35" t="s">
        <v>34</v>
      </c>
    </row>
    <row r="36" spans="1:11" x14ac:dyDescent="0.35">
      <c r="A36" t="s">
        <v>52</v>
      </c>
      <c r="B36">
        <v>20250922</v>
      </c>
      <c r="C36" t="s">
        <v>53</v>
      </c>
      <c r="D36" t="s">
        <v>46</v>
      </c>
      <c r="E36">
        <v>7.5</v>
      </c>
      <c r="F36">
        <v>3.5</v>
      </c>
      <c r="G36">
        <v>1.5</v>
      </c>
      <c r="H36">
        <v>7</v>
      </c>
      <c r="I36">
        <v>7.5</v>
      </c>
      <c r="J36">
        <f>SUM(Table1[[#This Row],[Flavour (0-10)]:[Worth (0-10)]])</f>
        <v>27</v>
      </c>
    </row>
    <row r="37" spans="1:11" x14ac:dyDescent="0.35">
      <c r="A37" t="s">
        <v>93</v>
      </c>
      <c r="B37">
        <v>20240604</v>
      </c>
      <c r="C37" t="s">
        <v>114</v>
      </c>
      <c r="D37" t="s">
        <v>113</v>
      </c>
      <c r="E37">
        <v>7</v>
      </c>
      <c r="F37">
        <v>4</v>
      </c>
      <c r="G37">
        <v>3</v>
      </c>
      <c r="H37">
        <v>6</v>
      </c>
      <c r="I37">
        <v>6.5</v>
      </c>
      <c r="J37">
        <f>SUM(Table1[[#This Row],[Flavour (0-10)]:[Worth (0-10)]])</f>
        <v>26.5</v>
      </c>
      <c r="K37" t="s">
        <v>34</v>
      </c>
    </row>
    <row r="38" spans="1:11" x14ac:dyDescent="0.35">
      <c r="A38" t="s">
        <v>125</v>
      </c>
      <c r="B38">
        <v>20240731</v>
      </c>
      <c r="C38" t="s">
        <v>126</v>
      </c>
      <c r="D38" t="s">
        <v>127</v>
      </c>
      <c r="E38">
        <v>7</v>
      </c>
      <c r="F38">
        <v>2</v>
      </c>
      <c r="G38">
        <v>4.5</v>
      </c>
      <c r="H38">
        <v>7</v>
      </c>
      <c r="I38">
        <v>6</v>
      </c>
      <c r="J38">
        <f>SUM(Table1[[#This Row],[Flavour (0-10)]:[Worth (0-10)]])</f>
        <v>26.5</v>
      </c>
    </row>
    <row r="39" spans="1:11" x14ac:dyDescent="0.35">
      <c r="A39" t="s">
        <v>29</v>
      </c>
      <c r="B39">
        <v>20250415</v>
      </c>
      <c r="C39" t="s">
        <v>29</v>
      </c>
      <c r="D39" t="s">
        <v>28</v>
      </c>
      <c r="E39">
        <v>7</v>
      </c>
      <c r="F39">
        <v>2.5</v>
      </c>
      <c r="G39">
        <v>3</v>
      </c>
      <c r="H39">
        <v>7</v>
      </c>
      <c r="I39">
        <v>7</v>
      </c>
      <c r="J39">
        <f>SUM(Table1[[#This Row],[Flavour (0-10)]:[Worth (0-10)]])</f>
        <v>26.5</v>
      </c>
      <c r="K39" t="s">
        <v>30</v>
      </c>
    </row>
    <row r="40" spans="1:11" x14ac:dyDescent="0.35">
      <c r="A40" t="s">
        <v>95</v>
      </c>
      <c r="B40">
        <v>20240207</v>
      </c>
      <c r="C40" t="s">
        <v>96</v>
      </c>
      <c r="D40" t="s">
        <v>97</v>
      </c>
      <c r="E40">
        <v>5.5</v>
      </c>
      <c r="F40">
        <v>4</v>
      </c>
      <c r="G40">
        <v>4</v>
      </c>
      <c r="H40">
        <v>4.5</v>
      </c>
      <c r="I40">
        <v>8</v>
      </c>
      <c r="J40">
        <f>SUM(Table1[[#This Row],[Flavour (0-10)]:[Worth (0-10)]])</f>
        <v>26</v>
      </c>
    </row>
    <row r="41" spans="1:11" x14ac:dyDescent="0.35">
      <c r="A41" t="s">
        <v>31</v>
      </c>
      <c r="B41">
        <v>20250415</v>
      </c>
      <c r="C41" t="s">
        <v>28</v>
      </c>
      <c r="D41" t="s">
        <v>28</v>
      </c>
      <c r="E41">
        <v>7</v>
      </c>
      <c r="F41">
        <v>2.5</v>
      </c>
      <c r="G41">
        <v>1.5</v>
      </c>
      <c r="H41">
        <v>8</v>
      </c>
      <c r="I41">
        <v>7</v>
      </c>
      <c r="J41">
        <f>SUM(Table1[[#This Row],[Flavour (0-10)]:[Worth (0-10)]])</f>
        <v>26</v>
      </c>
      <c r="K41" t="s">
        <v>30</v>
      </c>
    </row>
    <row r="42" spans="1:11" x14ac:dyDescent="0.35">
      <c r="A42" t="s">
        <v>36</v>
      </c>
      <c r="B42">
        <v>20250522</v>
      </c>
      <c r="C42" t="s">
        <v>37</v>
      </c>
      <c r="D42" t="s">
        <v>28</v>
      </c>
      <c r="E42">
        <v>7</v>
      </c>
      <c r="F42">
        <v>3</v>
      </c>
      <c r="G42">
        <v>3.5</v>
      </c>
      <c r="H42">
        <v>6.5</v>
      </c>
      <c r="I42">
        <v>6</v>
      </c>
      <c r="J42">
        <f>SUM(Table1[[#This Row],[Flavour (0-10)]:[Worth (0-10)]])</f>
        <v>26</v>
      </c>
      <c r="K42" t="s">
        <v>35</v>
      </c>
    </row>
    <row r="43" spans="1:11" x14ac:dyDescent="0.35">
      <c r="A43" t="s">
        <v>42</v>
      </c>
      <c r="B43">
        <v>20250725</v>
      </c>
      <c r="C43" t="s">
        <v>43</v>
      </c>
      <c r="D43" t="s">
        <v>28</v>
      </c>
      <c r="E43">
        <v>7</v>
      </c>
      <c r="F43">
        <v>2.5</v>
      </c>
      <c r="G43">
        <v>4</v>
      </c>
      <c r="H43">
        <v>6.5</v>
      </c>
      <c r="I43">
        <v>6</v>
      </c>
      <c r="J43">
        <f>SUM(Table1[[#This Row],[Flavour (0-10)]:[Worth (0-10)]])</f>
        <v>26</v>
      </c>
      <c r="K43" t="s">
        <v>72</v>
      </c>
    </row>
    <row r="44" spans="1:11" x14ac:dyDescent="0.35">
      <c r="A44" t="s">
        <v>49</v>
      </c>
      <c r="B44">
        <v>20250922</v>
      </c>
      <c r="C44" t="s">
        <v>54</v>
      </c>
      <c r="D44" t="s">
        <v>46</v>
      </c>
      <c r="E44">
        <v>6.5</v>
      </c>
      <c r="F44">
        <v>2.5</v>
      </c>
      <c r="G44">
        <v>4</v>
      </c>
      <c r="H44">
        <v>6.5</v>
      </c>
      <c r="I44">
        <v>6.5</v>
      </c>
      <c r="J44">
        <f>SUM(Table1[[#This Row],[Flavour (0-10)]:[Worth (0-10)]])</f>
        <v>26</v>
      </c>
    </row>
    <row r="45" spans="1:11" x14ac:dyDescent="0.35">
      <c r="A45" t="s">
        <v>19</v>
      </c>
      <c r="B45">
        <v>20240329</v>
      </c>
      <c r="C45" t="s">
        <v>107</v>
      </c>
      <c r="D45" t="s">
        <v>108</v>
      </c>
      <c r="E45">
        <v>7.5</v>
      </c>
      <c r="F45">
        <v>3.5</v>
      </c>
      <c r="G45">
        <v>2.5</v>
      </c>
      <c r="H45">
        <v>5.5</v>
      </c>
      <c r="I45">
        <v>6.5</v>
      </c>
      <c r="J45">
        <f>SUM(Table1[[#This Row],[Flavour (0-10)]:[Worth (0-10)]])</f>
        <v>25.5</v>
      </c>
      <c r="K45" t="s">
        <v>104</v>
      </c>
    </row>
    <row r="46" spans="1:11" x14ac:dyDescent="0.35">
      <c r="A46" t="s">
        <v>132</v>
      </c>
      <c r="B46">
        <v>20240925</v>
      </c>
      <c r="C46" t="s">
        <v>133</v>
      </c>
      <c r="D46" t="s">
        <v>134</v>
      </c>
      <c r="E46">
        <v>6.5</v>
      </c>
      <c r="F46">
        <v>1.5</v>
      </c>
      <c r="G46">
        <v>4</v>
      </c>
      <c r="H46">
        <v>7</v>
      </c>
      <c r="I46">
        <v>6.5</v>
      </c>
      <c r="J46">
        <f>SUM(Table1[[#This Row],[Flavour (0-10)]:[Worth (0-10)]])</f>
        <v>25.5</v>
      </c>
    </row>
    <row r="47" spans="1:11" x14ac:dyDescent="0.35">
      <c r="A47" t="s">
        <v>24</v>
      </c>
      <c r="B47">
        <v>20250314</v>
      </c>
      <c r="C47" t="s">
        <v>25</v>
      </c>
      <c r="D47" t="s">
        <v>9</v>
      </c>
      <c r="E47">
        <v>6.5</v>
      </c>
      <c r="F47">
        <v>3</v>
      </c>
      <c r="G47">
        <v>3</v>
      </c>
      <c r="H47">
        <v>6.5</v>
      </c>
      <c r="I47">
        <v>6.5</v>
      </c>
      <c r="J47">
        <f>SUM(Table1[[#This Row],[Flavour (0-10)]:[Worth (0-10)]])</f>
        <v>25.5</v>
      </c>
    </row>
    <row r="48" spans="1:11" x14ac:dyDescent="0.35">
      <c r="A48" t="s">
        <v>47</v>
      </c>
      <c r="B48">
        <v>20250825</v>
      </c>
      <c r="C48" t="s">
        <v>51</v>
      </c>
      <c r="D48" t="s">
        <v>46</v>
      </c>
      <c r="E48">
        <v>7.5</v>
      </c>
      <c r="F48">
        <v>3.5</v>
      </c>
      <c r="G48">
        <v>4</v>
      </c>
      <c r="H48">
        <v>5.5</v>
      </c>
      <c r="I48">
        <v>5</v>
      </c>
      <c r="J48">
        <f>SUM(Table1[[#This Row],[Flavour (0-10)]:[Worth (0-10)]])</f>
        <v>25.5</v>
      </c>
    </row>
    <row r="49" spans="1:11" x14ac:dyDescent="0.35">
      <c r="A49" t="s">
        <v>55</v>
      </c>
      <c r="B49">
        <v>20250922</v>
      </c>
      <c r="C49" t="s">
        <v>56</v>
      </c>
      <c r="D49" t="s">
        <v>46</v>
      </c>
      <c r="E49">
        <v>7</v>
      </c>
      <c r="F49">
        <v>2</v>
      </c>
      <c r="G49">
        <v>3</v>
      </c>
      <c r="H49">
        <v>6.5</v>
      </c>
      <c r="I49">
        <v>6.5</v>
      </c>
      <c r="J49">
        <f>SUM(Table1[[#This Row],[Flavour (0-10)]:[Worth (0-10)]])</f>
        <v>25</v>
      </c>
    </row>
    <row r="50" spans="1:11" x14ac:dyDescent="0.35">
      <c r="A50" t="s">
        <v>73</v>
      </c>
      <c r="B50">
        <v>20240329</v>
      </c>
      <c r="C50" t="s">
        <v>105</v>
      </c>
      <c r="D50" t="s">
        <v>106</v>
      </c>
      <c r="E50">
        <v>6.5</v>
      </c>
      <c r="F50">
        <v>2</v>
      </c>
      <c r="G50">
        <v>4</v>
      </c>
      <c r="H50">
        <v>6</v>
      </c>
      <c r="I50">
        <v>6</v>
      </c>
      <c r="J50">
        <f>SUM(Table1[[#This Row],[Flavour (0-10)]:[Worth (0-10)]])</f>
        <v>24.5</v>
      </c>
      <c r="K50" t="s">
        <v>104</v>
      </c>
    </row>
    <row r="51" spans="1:11" x14ac:dyDescent="0.35">
      <c r="A51" t="s">
        <v>73</v>
      </c>
      <c r="B51">
        <v>20240119</v>
      </c>
      <c r="C51" t="s">
        <v>74</v>
      </c>
      <c r="D51" t="s">
        <v>75</v>
      </c>
      <c r="E51">
        <v>6.5</v>
      </c>
      <c r="F51">
        <v>2</v>
      </c>
      <c r="G51">
        <v>2.5</v>
      </c>
      <c r="H51">
        <v>6.5</v>
      </c>
      <c r="I51">
        <v>6.5</v>
      </c>
      <c r="J51">
        <f>SUM(Table1[[#This Row],[Flavour (0-10)]:[Worth (0-10)]])</f>
        <v>24</v>
      </c>
      <c r="K51" t="s">
        <v>34</v>
      </c>
    </row>
    <row r="52" spans="1:11" x14ac:dyDescent="0.35">
      <c r="A52" t="s">
        <v>93</v>
      </c>
      <c r="B52">
        <v>20240604</v>
      </c>
      <c r="C52" t="s">
        <v>112</v>
      </c>
      <c r="D52" t="s">
        <v>113</v>
      </c>
      <c r="E52">
        <v>7</v>
      </c>
      <c r="F52">
        <v>3</v>
      </c>
      <c r="G52">
        <v>3</v>
      </c>
      <c r="H52">
        <v>5</v>
      </c>
      <c r="I52">
        <v>6</v>
      </c>
      <c r="J52">
        <f>SUM(Table1[[#This Row],[Flavour (0-10)]:[Worth (0-10)]])</f>
        <v>24</v>
      </c>
      <c r="K52" t="s">
        <v>34</v>
      </c>
    </row>
    <row r="53" spans="1:11" x14ac:dyDescent="0.35">
      <c r="A53" t="s">
        <v>19</v>
      </c>
      <c r="B53">
        <v>20250212</v>
      </c>
      <c r="C53" t="s">
        <v>20</v>
      </c>
      <c r="D53" t="s">
        <v>9</v>
      </c>
      <c r="E53">
        <v>6.5</v>
      </c>
      <c r="F53">
        <v>2.5</v>
      </c>
      <c r="G53">
        <v>2.5</v>
      </c>
      <c r="H53">
        <v>6.5</v>
      </c>
      <c r="I53">
        <v>6</v>
      </c>
      <c r="J53">
        <f>SUM(Table1[[#This Row],[Flavour (0-10)]:[Worth (0-10)]])</f>
        <v>24</v>
      </c>
    </row>
    <row r="54" spans="1:11" x14ac:dyDescent="0.35">
      <c r="A54" t="s">
        <v>11</v>
      </c>
      <c r="B54">
        <v>20250115</v>
      </c>
      <c r="C54" t="s">
        <v>12</v>
      </c>
      <c r="D54" t="s">
        <v>9</v>
      </c>
      <c r="E54">
        <v>6.5</v>
      </c>
      <c r="F54">
        <v>2.5</v>
      </c>
      <c r="G54">
        <v>2.5</v>
      </c>
      <c r="H54">
        <v>6</v>
      </c>
      <c r="I54">
        <v>6</v>
      </c>
      <c r="J54">
        <f>SUM(Table1[[#This Row],[Flavour (0-10)]:[Worth (0-10)]])</f>
        <v>23.5</v>
      </c>
    </row>
    <row r="55" spans="1:11" x14ac:dyDescent="0.35">
      <c r="A55" t="s">
        <v>116</v>
      </c>
      <c r="B55">
        <v>20240604</v>
      </c>
      <c r="C55" t="s">
        <v>117</v>
      </c>
      <c r="D55" t="s">
        <v>118</v>
      </c>
      <c r="E55">
        <v>6.5</v>
      </c>
      <c r="F55">
        <v>2.5</v>
      </c>
      <c r="G55">
        <v>2</v>
      </c>
      <c r="H55">
        <v>6.5</v>
      </c>
      <c r="I55">
        <v>5.5</v>
      </c>
      <c r="J55">
        <f>SUM(Table1[[#This Row],[Flavour (0-10)]:[Worth (0-10)]])</f>
        <v>23</v>
      </c>
      <c r="K55" t="s">
        <v>34</v>
      </c>
    </row>
    <row r="56" spans="1:11" x14ac:dyDescent="0.35">
      <c r="A56" t="s">
        <v>143</v>
      </c>
      <c r="B56">
        <v>20241102</v>
      </c>
      <c r="C56" t="s">
        <v>144</v>
      </c>
      <c r="D56" t="s">
        <v>145</v>
      </c>
      <c r="E56">
        <v>5.5</v>
      </c>
      <c r="F56">
        <v>2.5</v>
      </c>
      <c r="G56">
        <v>3</v>
      </c>
      <c r="H56">
        <v>5</v>
      </c>
      <c r="I56">
        <v>6</v>
      </c>
      <c r="J56">
        <f>SUM(Table1[[#This Row],[Flavour (0-10)]:[Worth (0-10)]])</f>
        <v>22</v>
      </c>
    </row>
    <row r="57" spans="1:11" x14ac:dyDescent="0.35">
      <c r="A57" t="s">
        <v>61</v>
      </c>
      <c r="B57">
        <v>20250927</v>
      </c>
      <c r="C57" t="s">
        <v>62</v>
      </c>
      <c r="D57" t="s">
        <v>62</v>
      </c>
      <c r="E57">
        <v>6</v>
      </c>
      <c r="F57">
        <v>2</v>
      </c>
      <c r="G57">
        <v>2</v>
      </c>
      <c r="H57">
        <v>6.5</v>
      </c>
      <c r="I57">
        <v>5.5</v>
      </c>
      <c r="J57">
        <f>SUM(Table1[[#This Row],[Flavour (0-10)]:[Worth (0-10)]])</f>
        <v>22</v>
      </c>
      <c r="K57" t="s">
        <v>57</v>
      </c>
    </row>
    <row r="58" spans="1:11" x14ac:dyDescent="0.35">
      <c r="A58" t="s">
        <v>102</v>
      </c>
      <c r="B58">
        <v>20240309</v>
      </c>
      <c r="C58" t="s">
        <v>103</v>
      </c>
      <c r="D58" t="s">
        <v>99</v>
      </c>
      <c r="E58">
        <v>6</v>
      </c>
      <c r="F58">
        <v>1.5</v>
      </c>
      <c r="G58">
        <v>3</v>
      </c>
      <c r="H58">
        <v>4.5</v>
      </c>
      <c r="I58">
        <v>5</v>
      </c>
      <c r="J58">
        <f>SUM(Table1[[#This Row],[Flavour (0-10)]:[Worth (0-10)]])</f>
        <v>20</v>
      </c>
    </row>
    <row r="59" spans="1:11" x14ac:dyDescent="0.35">
      <c r="A59" t="s">
        <v>38</v>
      </c>
      <c r="B59">
        <v>20250522</v>
      </c>
      <c r="C59" t="s">
        <v>39</v>
      </c>
      <c r="D59" t="s">
        <v>28</v>
      </c>
      <c r="E59">
        <v>5.5</v>
      </c>
      <c r="F59">
        <v>1</v>
      </c>
      <c r="G59">
        <v>4</v>
      </c>
      <c r="H59">
        <v>4.5</v>
      </c>
      <c r="I59">
        <v>4.5</v>
      </c>
      <c r="J59">
        <f>SUM(Table1[[#This Row],[Flavour (0-10)]:[Worth (0-10)]])</f>
        <v>19.5</v>
      </c>
      <c r="K59" t="s">
        <v>35</v>
      </c>
    </row>
    <row r="60" spans="1:11" x14ac:dyDescent="0.35">
      <c r="A60" t="s">
        <v>13</v>
      </c>
      <c r="B60">
        <v>20250115</v>
      </c>
      <c r="C60" t="s">
        <v>14</v>
      </c>
      <c r="D60" t="s">
        <v>9</v>
      </c>
      <c r="E60">
        <v>4</v>
      </c>
      <c r="F60">
        <v>2</v>
      </c>
      <c r="G60">
        <v>3.5</v>
      </c>
      <c r="H60">
        <v>4.5</v>
      </c>
      <c r="I60">
        <v>3.5</v>
      </c>
      <c r="J60">
        <f>SUM(Table1[[#This Row],[Flavour (0-10)]:[Worth (0-10)]])</f>
        <v>17.5</v>
      </c>
    </row>
    <row r="61" spans="1:11" x14ac:dyDescent="0.35">
      <c r="A61" t="s">
        <v>49</v>
      </c>
      <c r="B61">
        <v>20250825</v>
      </c>
      <c r="C61" t="s">
        <v>50</v>
      </c>
      <c r="D61" t="s">
        <v>46</v>
      </c>
      <c r="E61">
        <v>6</v>
      </c>
      <c r="F61">
        <v>2.5</v>
      </c>
      <c r="G61">
        <v>2.5</v>
      </c>
      <c r="H61">
        <v>3</v>
      </c>
      <c r="I61">
        <v>3.5</v>
      </c>
      <c r="J61">
        <f>SUM(Table1[[#This Row],[Flavour (0-10)]:[Worth (0-10)]])</f>
        <v>17.5</v>
      </c>
    </row>
    <row r="62" spans="1:11" x14ac:dyDescent="0.35">
      <c r="A62" t="s">
        <v>7</v>
      </c>
      <c r="B62">
        <v>20250115</v>
      </c>
      <c r="C62" t="s">
        <v>8</v>
      </c>
      <c r="D62" t="s">
        <v>9</v>
      </c>
      <c r="E62">
        <v>2</v>
      </c>
      <c r="F62">
        <v>0</v>
      </c>
      <c r="G62">
        <v>4</v>
      </c>
      <c r="H62">
        <v>2</v>
      </c>
      <c r="I62">
        <v>1.5</v>
      </c>
      <c r="J62">
        <f>SUM(Table1[[#This Row],[Flavour (0-10)]:[Worth (0-10)]])</f>
        <v>9.5</v>
      </c>
    </row>
  </sheetData>
  <pageMargins left="0.7" right="0.7" top="0.75" bottom="0.75" header="0.3" footer="0.3"/>
  <tableParts count="1">
    <tablePart r:id="rId1"/>
  </tableParts>
</worksheet>
</file>

<file path=docProps/app.xml><?xml version="1.0" encoding="utf-8"?>
<Properties xmlns="http://schemas.openxmlformats.org/officeDocument/2006/extended-properties" xmlns:vt="http://schemas.openxmlformats.org/officeDocument/2006/docPropsVTypes">
  <TotalTime>0</TotalTime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Søren Godbersen</dc:creator>
  <cp:lastModifiedBy>Søren Godbersen</cp:lastModifiedBy>
  <dcterms:created xsi:type="dcterms:W3CDTF">2025-11-25T16:45:35Z</dcterms:created>
  <dcterms:modified xsi:type="dcterms:W3CDTF">2025-12-05T15:23:50Z</dcterms:modified>
</cp:coreProperties>
</file>